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zgold/Documents/"/>
    </mc:Choice>
  </mc:AlternateContent>
  <xr:revisionPtr revIDLastSave="0" documentId="13_ncr:1_{12DA6CF2-B85F-7D40-BCC5-1083746AC11C}" xr6:coauthVersionLast="47" xr6:coauthVersionMax="47" xr10:uidLastSave="{00000000-0000-0000-0000-000000000000}"/>
  <bookViews>
    <workbookView xWindow="57820" yWindow="-7660" windowWidth="30240" windowHeight="17660" xr2:uid="{00000000-000D-0000-FFFF-FFFF00000000}"/>
  </bookViews>
  <sheets>
    <sheet name="PCR Set Up" sheetId="1" r:id="rId1"/>
    <sheet name="Template Plate Layout" sheetId="2" r:id="rId2"/>
    <sheet name="Sample Data Sheet 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7" i="1" s="1"/>
  <c r="K7" i="1" s="1"/>
  <c r="I13" i="1"/>
  <c r="H9" i="1"/>
  <c r="I9" i="1" s="1"/>
  <c r="K9" i="1" s="1"/>
  <c r="H8" i="1"/>
  <c r="H6" i="1"/>
  <c r="I6" i="1" s="1"/>
  <c r="K6" i="1" s="1"/>
  <c r="H5" i="1"/>
  <c r="I5" i="1" s="1"/>
  <c r="K5" i="1" s="1"/>
  <c r="H4" i="1"/>
  <c r="I4" i="1" s="1"/>
  <c r="I8" i="1" l="1"/>
  <c r="H11" i="1"/>
  <c r="K4" i="1"/>
  <c r="K8" i="1" l="1"/>
  <c r="I11" i="1"/>
  <c r="I12" i="1" l="1"/>
  <c r="K11" i="1"/>
</calcChain>
</file>

<file path=xl/sharedStrings.xml><?xml version="1.0" encoding="utf-8"?>
<sst xmlns="http://schemas.openxmlformats.org/spreadsheetml/2006/main" count="571" uniqueCount="170">
  <si>
    <t>PCR Protocol</t>
  </si>
  <si>
    <t>Reagents</t>
  </si>
  <si>
    <t>C1</t>
  </si>
  <si>
    <t>C1 units</t>
  </si>
  <si>
    <t>C2</t>
  </si>
  <si>
    <t>C2 units</t>
  </si>
  <si>
    <t>V2</t>
  </si>
  <si>
    <t>V1</t>
  </si>
  <si>
    <t>All V1</t>
  </si>
  <si>
    <t>1/2 RxN for 1.5 mL tube</t>
  </si>
  <si>
    <t>2X Phusion Master Mix</t>
  </si>
  <si>
    <t>X</t>
  </si>
  <si>
    <t>MM</t>
  </si>
  <si>
    <t>x2</t>
  </si>
  <si>
    <t>10 uM Forward Primer</t>
  </si>
  <si>
    <t>uM</t>
  </si>
  <si>
    <t>Forward</t>
  </si>
  <si>
    <t>10 uM Reverse Primer</t>
  </si>
  <si>
    <t>Reverse</t>
  </si>
  <si>
    <t>DMSO</t>
  </si>
  <si>
    <t>%</t>
  </si>
  <si>
    <t>Nuclease-Free Water</t>
  </si>
  <si>
    <t>NA</t>
  </si>
  <si>
    <t>H20</t>
  </si>
  <si>
    <t>rAlbumin</t>
  </si>
  <si>
    <t>ug/ul</t>
  </si>
  <si>
    <t>Template DNA</t>
  </si>
  <si>
    <t>&lt; 250</t>
  </si>
  <si>
    <t>ng/ 50 ul rxn</t>
  </si>
  <si>
    <t>Total</t>
  </si>
  <si>
    <t>MM ea well:</t>
  </si>
  <si>
    <t>µL</t>
  </si>
  <si>
    <t>DNA ea well:</t>
  </si>
  <si>
    <t>Note: Aiming here for &lt;125 ng template</t>
  </si>
  <si>
    <t>Number of Samples</t>
  </si>
  <si>
    <t>Pipette Error</t>
  </si>
  <si>
    <t>Total MM rxns</t>
  </si>
  <si>
    <t>Thermocycling Conditions</t>
  </si>
  <si>
    <t>Step</t>
  </si>
  <si>
    <t>Temp</t>
  </si>
  <si>
    <t>Time</t>
  </si>
  <si>
    <t>No of cycles</t>
  </si>
  <si>
    <t>Initial Denat</t>
  </si>
  <si>
    <t>30 s</t>
  </si>
  <si>
    <t>Denaturation</t>
  </si>
  <si>
    <t>10 s</t>
  </si>
  <si>
    <t>Annealing</t>
  </si>
  <si>
    <t>Extension</t>
  </si>
  <si>
    <t>45 s</t>
  </si>
  <si>
    <t>Final Exten</t>
  </si>
  <si>
    <t>10 min</t>
  </si>
  <si>
    <t>Hold</t>
  </si>
  <si>
    <t>infinity</t>
  </si>
  <si>
    <t>Machine:</t>
  </si>
  <si>
    <t>Program:</t>
  </si>
  <si>
    <t>Plate Layout</t>
  </si>
  <si>
    <t>A</t>
  </si>
  <si>
    <t>Sample 1</t>
  </si>
  <si>
    <t>Sample 9</t>
  </si>
  <si>
    <t>Sample 17</t>
  </si>
  <si>
    <t>Sample 25</t>
  </si>
  <si>
    <t>Sample 33</t>
  </si>
  <si>
    <t>Sample 41</t>
  </si>
  <si>
    <t>Sample 49</t>
  </si>
  <si>
    <t>Sample 57</t>
  </si>
  <si>
    <t>Sample 65</t>
  </si>
  <si>
    <t>Sample 73</t>
  </si>
  <si>
    <t>Sample 81</t>
  </si>
  <si>
    <t>Sample 89</t>
  </si>
  <si>
    <t>B</t>
  </si>
  <si>
    <t>Sample 2</t>
  </si>
  <si>
    <t>Sample 10</t>
  </si>
  <si>
    <t>Sample 18</t>
  </si>
  <si>
    <t>Sample 26</t>
  </si>
  <si>
    <t>Sample 34</t>
  </si>
  <si>
    <t>Sample 42</t>
  </si>
  <si>
    <t>Sample 50</t>
  </si>
  <si>
    <t>Sample 58</t>
  </si>
  <si>
    <t>Sample 66</t>
  </si>
  <si>
    <t>Sample 74</t>
  </si>
  <si>
    <t>Sample 82</t>
  </si>
  <si>
    <t>Sample 90</t>
  </si>
  <si>
    <t>C</t>
  </si>
  <si>
    <t>Sample 3</t>
  </si>
  <si>
    <t>Sample 11</t>
  </si>
  <si>
    <t>Sample 19</t>
  </si>
  <si>
    <t>Sample 27</t>
  </si>
  <si>
    <t>Sample 35</t>
  </si>
  <si>
    <t>Sample 43</t>
  </si>
  <si>
    <t>Sample 51</t>
  </si>
  <si>
    <t>Sample 59</t>
  </si>
  <si>
    <t>Sample 67</t>
  </si>
  <si>
    <t>Sample 75</t>
  </si>
  <si>
    <t>Sample 83</t>
  </si>
  <si>
    <t>Sample 91</t>
  </si>
  <si>
    <t>D</t>
  </si>
  <si>
    <t>Sample 4</t>
  </si>
  <si>
    <t>Sample 12</t>
  </si>
  <si>
    <t>Sample 20</t>
  </si>
  <si>
    <t>Sample 28</t>
  </si>
  <si>
    <t>Sample 36</t>
  </si>
  <si>
    <t>Sample 44</t>
  </si>
  <si>
    <t>Sample 52</t>
  </si>
  <si>
    <t>Sample 60</t>
  </si>
  <si>
    <t>Sample 68</t>
  </si>
  <si>
    <t>Sample 76</t>
  </si>
  <si>
    <t>Sample 84</t>
  </si>
  <si>
    <t>Sample 92</t>
  </si>
  <si>
    <t>E</t>
  </si>
  <si>
    <t>Sample 5</t>
  </si>
  <si>
    <t>Sample 13</t>
  </si>
  <si>
    <t>Sample 21</t>
  </si>
  <si>
    <t>Sample 29</t>
  </si>
  <si>
    <t>Sample 37</t>
  </si>
  <si>
    <t>Sample 45</t>
  </si>
  <si>
    <t>Sample 53</t>
  </si>
  <si>
    <t>Sample 61</t>
  </si>
  <si>
    <t>Sample 69</t>
  </si>
  <si>
    <t>Sample 77</t>
  </si>
  <si>
    <t>Sample 85</t>
  </si>
  <si>
    <t>Sample 93</t>
  </si>
  <si>
    <t>F</t>
  </si>
  <si>
    <t>Sample 6</t>
  </si>
  <si>
    <t>Sample 14</t>
  </si>
  <si>
    <t>Sample 22</t>
  </si>
  <si>
    <t>Sample 30</t>
  </si>
  <si>
    <t>Sample 38</t>
  </si>
  <si>
    <t>Sample 46</t>
  </si>
  <si>
    <t>Sample 54</t>
  </si>
  <si>
    <t>Sample 62</t>
  </si>
  <si>
    <t>Sample 70</t>
  </si>
  <si>
    <t>Sample 78</t>
  </si>
  <si>
    <t>Sample 86</t>
  </si>
  <si>
    <t>Sample 94</t>
  </si>
  <si>
    <t>G</t>
  </si>
  <si>
    <t>Sample 7</t>
  </si>
  <si>
    <t>Sample 15</t>
  </si>
  <si>
    <t>Sample 23</t>
  </si>
  <si>
    <t>Sample 31</t>
  </si>
  <si>
    <t>Sample 39</t>
  </si>
  <si>
    <t>Sample 47</t>
  </si>
  <si>
    <t>Sample 55</t>
  </si>
  <si>
    <t>Sample 63</t>
  </si>
  <si>
    <t>Sample 71</t>
  </si>
  <si>
    <t>Sample 79</t>
  </si>
  <si>
    <t>Sample 87</t>
  </si>
  <si>
    <t>BLANK</t>
  </si>
  <si>
    <t>H</t>
  </si>
  <si>
    <t>Sample 8</t>
  </si>
  <si>
    <t>Sample 16</t>
  </si>
  <si>
    <t>Sample 24</t>
  </si>
  <si>
    <t>Sample 32</t>
  </si>
  <si>
    <t>Sample 40</t>
  </si>
  <si>
    <t>Sample 48</t>
  </si>
  <si>
    <t>Sample 56</t>
  </si>
  <si>
    <t>Sample 64</t>
  </si>
  <si>
    <t>Sample 72</t>
  </si>
  <si>
    <t>Sample 80</t>
  </si>
  <si>
    <t>Sample 88</t>
  </si>
  <si>
    <t>POSITIVE</t>
  </si>
  <si>
    <t>Library Number</t>
  </si>
  <si>
    <t>Plate Name</t>
  </si>
  <si>
    <t>Plate Number</t>
  </si>
  <si>
    <t>Column</t>
  </si>
  <si>
    <t>Row</t>
  </si>
  <si>
    <t>Sample Name</t>
  </si>
  <si>
    <t>Metabarcoding Marker</t>
  </si>
  <si>
    <t>OME P1 Sequencing MiFish</t>
  </si>
  <si>
    <t>Primers: Komai_MiDeca_mt16S</t>
  </si>
  <si>
    <t>Komai_MiDeca_mt16S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</si>
</sst>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3" borderId="1" xfId="0" applyFont="1" applyFill="1" applyBorder="1"/>
    <xf numFmtId="0" fontId="2" fillId="0" borderId="3" xfId="0" applyFont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4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22" sqref="G22"/>
    </sheetView>
  </sheetViews>
  <sheetFormatPr baseColWidth="10" defaultColWidth="12.6640625" defaultRowHeight="15.75" customHeight="1" x14ac:dyDescent="0.15"/>
  <cols>
    <col min="1" max="1" width="16.5" customWidth="1"/>
  </cols>
  <sheetData>
    <row r="1" spans="1:26" ht="15.75" customHeight="1" x14ac:dyDescent="0.15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 t="s">
        <v>1</v>
      </c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2"/>
      <c r="K3" s="2" t="s">
        <v>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6" t="s">
        <v>10</v>
      </c>
      <c r="B4" s="7"/>
      <c r="C4" s="8">
        <v>2</v>
      </c>
      <c r="D4" s="7" t="s">
        <v>11</v>
      </c>
      <c r="E4" s="8">
        <v>1</v>
      </c>
      <c r="F4" s="7" t="s">
        <v>11</v>
      </c>
      <c r="G4" s="9">
        <v>25</v>
      </c>
      <c r="H4" s="9">
        <f t="shared" ref="H4:H6" si="0">G4*E4/C4</f>
        <v>12.5</v>
      </c>
      <c r="I4" s="9">
        <f t="shared" ref="I4:I9" si="1">H4*$I$17</f>
        <v>1300</v>
      </c>
      <c r="J4" s="2" t="s">
        <v>12</v>
      </c>
      <c r="K4" s="10">
        <f t="shared" ref="K4:K9" si="2">I4/2</f>
        <v>650</v>
      </c>
      <c r="L4" s="2" t="s">
        <v>13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6" t="s">
        <v>14</v>
      </c>
      <c r="B5" s="7"/>
      <c r="C5" s="8">
        <v>10</v>
      </c>
      <c r="D5" s="7" t="s">
        <v>15</v>
      </c>
      <c r="E5" s="8">
        <v>0.5</v>
      </c>
      <c r="F5" s="7" t="s">
        <v>15</v>
      </c>
      <c r="G5" s="9">
        <v>25</v>
      </c>
      <c r="H5" s="9">
        <f t="shared" si="0"/>
        <v>1.25</v>
      </c>
      <c r="I5" s="9">
        <f t="shared" si="1"/>
        <v>130</v>
      </c>
      <c r="J5" s="2" t="s">
        <v>16</v>
      </c>
      <c r="K5" s="10">
        <f t="shared" si="2"/>
        <v>65</v>
      </c>
      <c r="L5" s="2" t="s">
        <v>13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6" t="s">
        <v>17</v>
      </c>
      <c r="B6" s="7"/>
      <c r="C6" s="8">
        <v>10</v>
      </c>
      <c r="D6" s="7" t="s">
        <v>15</v>
      </c>
      <c r="E6" s="8">
        <v>0.5</v>
      </c>
      <c r="F6" s="7" t="s">
        <v>15</v>
      </c>
      <c r="G6" s="9">
        <v>25</v>
      </c>
      <c r="H6" s="9">
        <f t="shared" si="0"/>
        <v>1.25</v>
      </c>
      <c r="I6" s="9">
        <f t="shared" si="1"/>
        <v>130</v>
      </c>
      <c r="J6" s="2" t="s">
        <v>18</v>
      </c>
      <c r="K6" s="10">
        <f t="shared" si="2"/>
        <v>65</v>
      </c>
      <c r="L6" s="2" t="s">
        <v>13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6" t="s">
        <v>19</v>
      </c>
      <c r="B7" s="7"/>
      <c r="C7" s="8">
        <v>100</v>
      </c>
      <c r="D7" s="7" t="s">
        <v>20</v>
      </c>
      <c r="E7" s="8">
        <v>3</v>
      </c>
      <c r="F7" s="11" t="s">
        <v>20</v>
      </c>
      <c r="G7" s="9">
        <v>25</v>
      </c>
      <c r="H7" s="9">
        <v>0.75</v>
      </c>
      <c r="I7" s="9">
        <f t="shared" si="1"/>
        <v>78</v>
      </c>
      <c r="J7" s="2" t="s">
        <v>19</v>
      </c>
      <c r="K7" s="10">
        <f t="shared" si="2"/>
        <v>39</v>
      </c>
      <c r="L7" s="2" t="s">
        <v>13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6" t="s">
        <v>21</v>
      </c>
      <c r="B8" s="7"/>
      <c r="C8" s="8" t="s">
        <v>22</v>
      </c>
      <c r="D8" s="7" t="s">
        <v>22</v>
      </c>
      <c r="E8" s="8" t="s">
        <v>22</v>
      </c>
      <c r="F8" s="7" t="s">
        <v>22</v>
      </c>
      <c r="G8" s="9">
        <v>25</v>
      </c>
      <c r="H8" s="9">
        <f>G8-SUM(H4:H7,H9:H10)</f>
        <v>6.625</v>
      </c>
      <c r="I8" s="9">
        <f t="shared" si="1"/>
        <v>689</v>
      </c>
      <c r="J8" s="2" t="s">
        <v>23</v>
      </c>
      <c r="K8" s="10">
        <f t="shared" si="2"/>
        <v>344.5</v>
      </c>
      <c r="L8" s="2" t="s">
        <v>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12" t="s">
        <v>24</v>
      </c>
      <c r="B9" s="7"/>
      <c r="C9" s="8">
        <v>20</v>
      </c>
      <c r="D9" s="7" t="s">
        <v>25</v>
      </c>
      <c r="E9" s="8">
        <v>0.5</v>
      </c>
      <c r="F9" s="7" t="s">
        <v>25</v>
      </c>
      <c r="G9" s="9">
        <v>25</v>
      </c>
      <c r="H9" s="9">
        <f>G9*E9/C9</f>
        <v>0.625</v>
      </c>
      <c r="I9" s="9">
        <f t="shared" si="1"/>
        <v>65</v>
      </c>
      <c r="J9" s="2" t="s">
        <v>24</v>
      </c>
      <c r="K9" s="10">
        <f t="shared" si="2"/>
        <v>32.5</v>
      </c>
      <c r="L9" s="2" t="s">
        <v>13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12" t="s">
        <v>26</v>
      </c>
      <c r="B10" s="7"/>
      <c r="C10" s="7"/>
      <c r="D10" s="7"/>
      <c r="E10" s="8" t="s">
        <v>27</v>
      </c>
      <c r="F10" s="7" t="s">
        <v>28</v>
      </c>
      <c r="G10" s="9">
        <v>25</v>
      </c>
      <c r="H10" s="9">
        <v>2</v>
      </c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13" t="s">
        <v>29</v>
      </c>
      <c r="B11" s="14"/>
      <c r="C11" s="14"/>
      <c r="D11" s="14"/>
      <c r="E11" s="14"/>
      <c r="F11" s="14"/>
      <c r="G11" s="15">
        <v>25</v>
      </c>
      <c r="H11" s="15">
        <f>SUM(H4:H10)</f>
        <v>25</v>
      </c>
      <c r="I11" s="15">
        <f>SUM(I4:I10)-I10</f>
        <v>2392</v>
      </c>
      <c r="J11" s="2"/>
      <c r="K11" s="10">
        <f>I11/2</f>
        <v>1196</v>
      </c>
      <c r="L11" s="2" t="s">
        <v>13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B12" s="2"/>
      <c r="C12" s="2"/>
      <c r="D12" s="2"/>
      <c r="E12" s="2"/>
      <c r="F12" s="2"/>
      <c r="G12" s="2"/>
      <c r="H12" s="16" t="s">
        <v>30</v>
      </c>
      <c r="I12" s="16">
        <f>I11/I17</f>
        <v>23</v>
      </c>
      <c r="J12" s="2" t="s">
        <v>31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B13" s="2"/>
      <c r="C13" s="2"/>
      <c r="D13" s="2"/>
      <c r="E13" s="2"/>
      <c r="F13" s="2"/>
      <c r="G13" s="2"/>
      <c r="H13" s="2" t="s">
        <v>32</v>
      </c>
      <c r="I13" s="16">
        <f>H10</f>
        <v>2</v>
      </c>
      <c r="J13" s="2" t="s">
        <v>31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2" t="s">
        <v>33</v>
      </c>
      <c r="C15" s="2"/>
      <c r="D15" s="2"/>
      <c r="E15" s="2"/>
      <c r="F15" s="2"/>
      <c r="G15" s="2"/>
      <c r="H15" s="1" t="s">
        <v>34</v>
      </c>
      <c r="I15" s="17">
        <v>96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1" t="s">
        <v>35</v>
      </c>
      <c r="I16" s="17">
        <v>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1" t="s">
        <v>36</v>
      </c>
      <c r="I17" s="17">
        <f>SUM(I15:I16)</f>
        <v>104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 t="s">
        <v>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 t="s">
        <v>38</v>
      </c>
      <c r="B20" s="5" t="s">
        <v>39</v>
      </c>
      <c r="C20" s="5" t="s">
        <v>40</v>
      </c>
      <c r="D20" s="5" t="s">
        <v>41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6" t="s">
        <v>42</v>
      </c>
      <c r="B21" s="18">
        <v>98</v>
      </c>
      <c r="C21" s="18" t="s">
        <v>43</v>
      </c>
      <c r="D21" s="9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19" t="s">
        <v>44</v>
      </c>
      <c r="B22" s="16">
        <v>98</v>
      </c>
      <c r="C22" s="16" t="s">
        <v>45</v>
      </c>
      <c r="D22" s="20">
        <v>35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19" t="s">
        <v>46</v>
      </c>
      <c r="B23" s="16">
        <v>60</v>
      </c>
      <c r="C23" s="16" t="s">
        <v>43</v>
      </c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6" t="s">
        <v>47</v>
      </c>
      <c r="B24" s="18">
        <v>72</v>
      </c>
      <c r="C24" s="18" t="s">
        <v>48</v>
      </c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6" t="s">
        <v>49</v>
      </c>
      <c r="B25" s="18">
        <v>72</v>
      </c>
      <c r="C25" s="18" t="s">
        <v>50</v>
      </c>
      <c r="D25" s="9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6" t="s">
        <v>51</v>
      </c>
      <c r="B26" s="18">
        <v>4</v>
      </c>
      <c r="C26" s="18" t="s">
        <v>52</v>
      </c>
      <c r="D26" s="9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 t="s">
        <v>53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 t="s">
        <v>54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M11"/>
  <sheetViews>
    <sheetView workbookViewId="0"/>
  </sheetViews>
  <sheetFormatPr baseColWidth="10" defaultColWidth="12.6640625" defaultRowHeight="15.75" customHeight="1" x14ac:dyDescent="0.15"/>
  <sheetData>
    <row r="3" spans="1:13" x14ac:dyDescent="0.2">
      <c r="A3" s="22" t="s">
        <v>55</v>
      </c>
      <c r="B3" s="22">
        <v>1</v>
      </c>
      <c r="C3" s="22">
        <v>2</v>
      </c>
      <c r="D3" s="22">
        <v>3</v>
      </c>
      <c r="E3" s="22">
        <v>4</v>
      </c>
      <c r="F3" s="22">
        <v>5</v>
      </c>
      <c r="G3" s="22">
        <v>6</v>
      </c>
      <c r="H3" s="22">
        <v>7</v>
      </c>
      <c r="I3" s="22">
        <v>8</v>
      </c>
      <c r="J3" s="22">
        <v>9</v>
      </c>
      <c r="K3" s="22">
        <v>10</v>
      </c>
      <c r="L3" s="22">
        <v>11</v>
      </c>
      <c r="M3" s="22">
        <v>12</v>
      </c>
    </row>
    <row r="4" spans="1:13" x14ac:dyDescent="0.2">
      <c r="A4" s="22" t="s">
        <v>56</v>
      </c>
      <c r="B4" s="23" t="s">
        <v>57</v>
      </c>
      <c r="C4" s="23" t="s">
        <v>58</v>
      </c>
      <c r="D4" s="23" t="s">
        <v>59</v>
      </c>
      <c r="E4" s="23" t="s">
        <v>60</v>
      </c>
      <c r="F4" s="23" t="s">
        <v>61</v>
      </c>
      <c r="G4" s="23" t="s">
        <v>62</v>
      </c>
      <c r="H4" s="23" t="s">
        <v>63</v>
      </c>
      <c r="I4" s="23" t="s">
        <v>64</v>
      </c>
      <c r="J4" s="23" t="s">
        <v>65</v>
      </c>
      <c r="K4" s="23" t="s">
        <v>66</v>
      </c>
      <c r="L4" s="23" t="s">
        <v>67</v>
      </c>
      <c r="M4" s="23" t="s">
        <v>68</v>
      </c>
    </row>
    <row r="5" spans="1:13" x14ac:dyDescent="0.2">
      <c r="A5" s="22" t="s">
        <v>69</v>
      </c>
      <c r="B5" s="23" t="s">
        <v>70</v>
      </c>
      <c r="C5" s="23" t="s">
        <v>71</v>
      </c>
      <c r="D5" s="23" t="s">
        <v>72</v>
      </c>
      <c r="E5" s="23" t="s">
        <v>73</v>
      </c>
      <c r="F5" s="23" t="s">
        <v>74</v>
      </c>
      <c r="G5" s="23" t="s">
        <v>75</v>
      </c>
      <c r="H5" s="23" t="s">
        <v>76</v>
      </c>
      <c r="I5" s="23" t="s">
        <v>77</v>
      </c>
      <c r="J5" s="23" t="s">
        <v>78</v>
      </c>
      <c r="K5" s="23" t="s">
        <v>79</v>
      </c>
      <c r="L5" s="23" t="s">
        <v>80</v>
      </c>
      <c r="M5" s="23" t="s">
        <v>81</v>
      </c>
    </row>
    <row r="6" spans="1:13" x14ac:dyDescent="0.2">
      <c r="A6" s="22" t="s">
        <v>82</v>
      </c>
      <c r="B6" s="23" t="s">
        <v>83</v>
      </c>
      <c r="C6" s="23" t="s">
        <v>84</v>
      </c>
      <c r="D6" s="23" t="s">
        <v>85</v>
      </c>
      <c r="E6" s="23" t="s">
        <v>86</v>
      </c>
      <c r="F6" s="23" t="s">
        <v>87</v>
      </c>
      <c r="G6" s="23" t="s">
        <v>88</v>
      </c>
      <c r="H6" s="23" t="s">
        <v>89</v>
      </c>
      <c r="I6" s="23" t="s">
        <v>90</v>
      </c>
      <c r="J6" s="23" t="s">
        <v>91</v>
      </c>
      <c r="K6" s="23" t="s">
        <v>92</v>
      </c>
      <c r="L6" s="23" t="s">
        <v>93</v>
      </c>
      <c r="M6" s="23" t="s">
        <v>94</v>
      </c>
    </row>
    <row r="7" spans="1:13" x14ac:dyDescent="0.2">
      <c r="A7" s="22" t="s">
        <v>95</v>
      </c>
      <c r="B7" s="23" t="s">
        <v>96</v>
      </c>
      <c r="C7" s="23" t="s">
        <v>97</v>
      </c>
      <c r="D7" s="23" t="s">
        <v>98</v>
      </c>
      <c r="E7" s="23" t="s">
        <v>99</v>
      </c>
      <c r="F7" s="23" t="s">
        <v>100</v>
      </c>
      <c r="G7" s="23" t="s">
        <v>101</v>
      </c>
      <c r="H7" s="23" t="s">
        <v>102</v>
      </c>
      <c r="I7" s="23" t="s">
        <v>103</v>
      </c>
      <c r="J7" s="23" t="s">
        <v>104</v>
      </c>
      <c r="K7" s="23" t="s">
        <v>105</v>
      </c>
      <c r="L7" s="23" t="s">
        <v>106</v>
      </c>
      <c r="M7" s="23" t="s">
        <v>107</v>
      </c>
    </row>
    <row r="8" spans="1:13" x14ac:dyDescent="0.2">
      <c r="A8" s="22" t="s">
        <v>108</v>
      </c>
      <c r="B8" s="23" t="s">
        <v>109</v>
      </c>
      <c r="C8" s="23" t="s">
        <v>110</v>
      </c>
      <c r="D8" s="23" t="s">
        <v>111</v>
      </c>
      <c r="E8" s="23" t="s">
        <v>112</v>
      </c>
      <c r="F8" s="23" t="s">
        <v>113</v>
      </c>
      <c r="G8" s="23" t="s">
        <v>114</v>
      </c>
      <c r="H8" s="23" t="s">
        <v>115</v>
      </c>
      <c r="I8" s="23" t="s">
        <v>116</v>
      </c>
      <c r="J8" s="23" t="s">
        <v>117</v>
      </c>
      <c r="K8" s="23" t="s">
        <v>118</v>
      </c>
      <c r="L8" s="23" t="s">
        <v>119</v>
      </c>
      <c r="M8" s="23" t="s">
        <v>120</v>
      </c>
    </row>
    <row r="9" spans="1:13" x14ac:dyDescent="0.2">
      <c r="A9" s="22" t="s">
        <v>121</v>
      </c>
      <c r="B9" s="23" t="s">
        <v>122</v>
      </c>
      <c r="C9" s="23" t="s">
        <v>123</v>
      </c>
      <c r="D9" s="23" t="s">
        <v>124</v>
      </c>
      <c r="E9" s="23" t="s">
        <v>125</v>
      </c>
      <c r="F9" s="23" t="s">
        <v>126</v>
      </c>
      <c r="G9" s="23" t="s">
        <v>127</v>
      </c>
      <c r="H9" s="23" t="s">
        <v>128</v>
      </c>
      <c r="I9" s="23" t="s">
        <v>129</v>
      </c>
      <c r="J9" s="23" t="s">
        <v>130</v>
      </c>
      <c r="K9" s="23" t="s">
        <v>131</v>
      </c>
      <c r="L9" s="23" t="s">
        <v>132</v>
      </c>
      <c r="M9" s="23" t="s">
        <v>133</v>
      </c>
    </row>
    <row r="10" spans="1:13" x14ac:dyDescent="0.2">
      <c r="A10" s="22" t="s">
        <v>134</v>
      </c>
      <c r="B10" s="23" t="s">
        <v>135</v>
      </c>
      <c r="C10" s="23" t="s">
        <v>136</v>
      </c>
      <c r="D10" s="23" t="s">
        <v>137</v>
      </c>
      <c r="E10" s="23" t="s">
        <v>138</v>
      </c>
      <c r="F10" s="23" t="s">
        <v>139</v>
      </c>
      <c r="G10" s="23" t="s">
        <v>140</v>
      </c>
      <c r="H10" s="23" t="s">
        <v>141</v>
      </c>
      <c r="I10" s="23" t="s">
        <v>142</v>
      </c>
      <c r="J10" s="23" t="s">
        <v>143</v>
      </c>
      <c r="K10" s="23" t="s">
        <v>144</v>
      </c>
      <c r="L10" s="23" t="s">
        <v>145</v>
      </c>
      <c r="M10" s="24" t="s">
        <v>146</v>
      </c>
    </row>
    <row r="11" spans="1:13" x14ac:dyDescent="0.2">
      <c r="A11" s="22" t="s">
        <v>147</v>
      </c>
      <c r="B11" s="23" t="s">
        <v>148</v>
      </c>
      <c r="C11" s="23" t="s">
        <v>149</v>
      </c>
      <c r="D11" s="23" t="s">
        <v>150</v>
      </c>
      <c r="E11" s="23" t="s">
        <v>151</v>
      </c>
      <c r="F11" s="23" t="s">
        <v>152</v>
      </c>
      <c r="G11" s="23" t="s">
        <v>153</v>
      </c>
      <c r="H11" s="23" t="s">
        <v>154</v>
      </c>
      <c r="I11" s="23" t="s">
        <v>155</v>
      </c>
      <c r="J11" s="23" t="s">
        <v>156</v>
      </c>
      <c r="K11" s="23" t="s">
        <v>157</v>
      </c>
      <c r="L11" s="23" t="s">
        <v>158</v>
      </c>
      <c r="M11" s="25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7"/>
  <sheetViews>
    <sheetView workbookViewId="0">
      <selection activeCell="G2" sqref="G2:G97"/>
    </sheetView>
  </sheetViews>
  <sheetFormatPr baseColWidth="10" defaultColWidth="12.6640625" defaultRowHeight="15.75" customHeight="1" x14ac:dyDescent="0.15"/>
  <cols>
    <col min="2" max="2" width="25.1640625" customWidth="1"/>
  </cols>
  <sheetData>
    <row r="1" spans="1:7" ht="15.75" customHeight="1" x14ac:dyDescent="0.1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</row>
    <row r="2" spans="1:7" x14ac:dyDescent="0.2">
      <c r="A2" s="10">
        <v>1</v>
      </c>
      <c r="B2" s="2" t="s">
        <v>167</v>
      </c>
      <c r="C2" s="10">
        <v>1</v>
      </c>
      <c r="D2" s="10">
        <v>1</v>
      </c>
      <c r="E2" s="2" t="s">
        <v>56</v>
      </c>
      <c r="F2" s="23" t="s">
        <v>57</v>
      </c>
      <c r="G2" s="2" t="s">
        <v>169</v>
      </c>
    </row>
    <row r="3" spans="1:7" x14ac:dyDescent="0.2">
      <c r="A3" s="10">
        <v>2</v>
      </c>
      <c r="B3" s="2" t="s">
        <v>167</v>
      </c>
      <c r="C3" s="10">
        <v>1</v>
      </c>
      <c r="D3" s="10">
        <v>1</v>
      </c>
      <c r="E3" s="2" t="s">
        <v>69</v>
      </c>
      <c r="F3" s="23" t="s">
        <v>70</v>
      </c>
      <c r="G3" s="2" t="s">
        <v>169</v>
      </c>
    </row>
    <row r="4" spans="1:7" x14ac:dyDescent="0.2">
      <c r="A4" s="10">
        <v>3</v>
      </c>
      <c r="B4" s="2" t="s">
        <v>167</v>
      </c>
      <c r="C4" s="10">
        <v>1</v>
      </c>
      <c r="D4" s="10">
        <v>1</v>
      </c>
      <c r="E4" s="2" t="s">
        <v>82</v>
      </c>
      <c r="F4" s="23" t="s">
        <v>83</v>
      </c>
      <c r="G4" s="2" t="s">
        <v>169</v>
      </c>
    </row>
    <row r="5" spans="1:7" x14ac:dyDescent="0.2">
      <c r="A5" s="10">
        <v>4</v>
      </c>
      <c r="B5" s="2" t="s">
        <v>167</v>
      </c>
      <c r="C5" s="10">
        <v>1</v>
      </c>
      <c r="D5" s="10">
        <v>1</v>
      </c>
      <c r="E5" s="2" t="s">
        <v>95</v>
      </c>
      <c r="F5" s="23" t="s">
        <v>96</v>
      </c>
      <c r="G5" s="2" t="s">
        <v>169</v>
      </c>
    </row>
    <row r="6" spans="1:7" x14ac:dyDescent="0.2">
      <c r="A6" s="10">
        <v>5</v>
      </c>
      <c r="B6" s="2" t="s">
        <v>167</v>
      </c>
      <c r="C6" s="10">
        <v>1</v>
      </c>
      <c r="D6" s="10">
        <v>1</v>
      </c>
      <c r="E6" s="2" t="s">
        <v>108</v>
      </c>
      <c r="F6" s="23" t="s">
        <v>109</v>
      </c>
      <c r="G6" s="2" t="s">
        <v>169</v>
      </c>
    </row>
    <row r="7" spans="1:7" x14ac:dyDescent="0.2">
      <c r="A7" s="10">
        <v>6</v>
      </c>
      <c r="B7" s="2" t="s">
        <v>167</v>
      </c>
      <c r="C7" s="10">
        <v>1</v>
      </c>
      <c r="D7" s="10">
        <v>1</v>
      </c>
      <c r="E7" s="2" t="s">
        <v>121</v>
      </c>
      <c r="F7" s="23" t="s">
        <v>122</v>
      </c>
      <c r="G7" s="2" t="s">
        <v>169</v>
      </c>
    </row>
    <row r="8" spans="1:7" x14ac:dyDescent="0.2">
      <c r="A8" s="10">
        <v>7</v>
      </c>
      <c r="B8" s="2" t="s">
        <v>167</v>
      </c>
      <c r="C8" s="10">
        <v>1</v>
      </c>
      <c r="D8" s="10">
        <v>1</v>
      </c>
      <c r="E8" s="2" t="s">
        <v>134</v>
      </c>
      <c r="F8" s="23" t="s">
        <v>135</v>
      </c>
      <c r="G8" s="2" t="s">
        <v>169</v>
      </c>
    </row>
    <row r="9" spans="1:7" x14ac:dyDescent="0.2">
      <c r="A9" s="10">
        <v>8</v>
      </c>
      <c r="B9" s="2" t="s">
        <v>167</v>
      </c>
      <c r="C9" s="10">
        <v>1</v>
      </c>
      <c r="D9" s="10">
        <v>1</v>
      </c>
      <c r="E9" s="2" t="s">
        <v>147</v>
      </c>
      <c r="F9" s="23" t="s">
        <v>148</v>
      </c>
      <c r="G9" s="2" t="s">
        <v>169</v>
      </c>
    </row>
    <row r="10" spans="1:7" x14ac:dyDescent="0.2">
      <c r="A10" s="10">
        <v>9</v>
      </c>
      <c r="B10" s="2" t="s">
        <v>167</v>
      </c>
      <c r="C10" s="10">
        <v>1</v>
      </c>
      <c r="D10" s="10">
        <v>2</v>
      </c>
      <c r="E10" s="2" t="s">
        <v>56</v>
      </c>
      <c r="F10" s="23" t="s">
        <v>58</v>
      </c>
      <c r="G10" s="2" t="s">
        <v>169</v>
      </c>
    </row>
    <row r="11" spans="1:7" x14ac:dyDescent="0.2">
      <c r="A11" s="10">
        <v>10</v>
      </c>
      <c r="B11" s="2" t="s">
        <v>167</v>
      </c>
      <c r="C11" s="10">
        <v>1</v>
      </c>
      <c r="D11" s="10">
        <v>2</v>
      </c>
      <c r="E11" s="2" t="s">
        <v>69</v>
      </c>
      <c r="F11" s="23" t="s">
        <v>71</v>
      </c>
      <c r="G11" s="2" t="s">
        <v>169</v>
      </c>
    </row>
    <row r="12" spans="1:7" x14ac:dyDescent="0.2">
      <c r="A12" s="10">
        <v>11</v>
      </c>
      <c r="B12" s="2" t="s">
        <v>167</v>
      </c>
      <c r="C12" s="10">
        <v>1</v>
      </c>
      <c r="D12" s="10">
        <v>2</v>
      </c>
      <c r="E12" s="2" t="s">
        <v>82</v>
      </c>
      <c r="F12" s="23" t="s">
        <v>84</v>
      </c>
      <c r="G12" s="2" t="s">
        <v>169</v>
      </c>
    </row>
    <row r="13" spans="1:7" x14ac:dyDescent="0.2">
      <c r="A13" s="10">
        <v>12</v>
      </c>
      <c r="B13" s="2" t="s">
        <v>167</v>
      </c>
      <c r="C13" s="10">
        <v>1</v>
      </c>
      <c r="D13" s="10">
        <v>2</v>
      </c>
      <c r="E13" s="2" t="s">
        <v>95</v>
      </c>
      <c r="F13" s="23" t="s">
        <v>97</v>
      </c>
      <c r="G13" s="2" t="s">
        <v>169</v>
      </c>
    </row>
    <row r="14" spans="1:7" x14ac:dyDescent="0.2">
      <c r="A14" s="10">
        <v>13</v>
      </c>
      <c r="B14" s="2" t="s">
        <v>167</v>
      </c>
      <c r="C14" s="10">
        <v>1</v>
      </c>
      <c r="D14" s="10">
        <v>2</v>
      </c>
      <c r="E14" s="2" t="s">
        <v>108</v>
      </c>
      <c r="F14" s="23" t="s">
        <v>110</v>
      </c>
      <c r="G14" s="2" t="s">
        <v>169</v>
      </c>
    </row>
    <row r="15" spans="1:7" x14ac:dyDescent="0.2">
      <c r="A15" s="10">
        <v>14</v>
      </c>
      <c r="B15" s="2" t="s">
        <v>167</v>
      </c>
      <c r="C15" s="10">
        <v>1</v>
      </c>
      <c r="D15" s="10">
        <v>2</v>
      </c>
      <c r="E15" s="2" t="s">
        <v>121</v>
      </c>
      <c r="F15" s="23" t="s">
        <v>123</v>
      </c>
      <c r="G15" s="2" t="s">
        <v>169</v>
      </c>
    </row>
    <row r="16" spans="1:7" x14ac:dyDescent="0.2">
      <c r="A16" s="10">
        <v>15</v>
      </c>
      <c r="B16" s="2" t="s">
        <v>167</v>
      </c>
      <c r="C16" s="10">
        <v>1</v>
      </c>
      <c r="D16" s="10">
        <v>2</v>
      </c>
      <c r="E16" s="2" t="s">
        <v>134</v>
      </c>
      <c r="F16" s="23" t="s">
        <v>136</v>
      </c>
      <c r="G16" s="2" t="s">
        <v>169</v>
      </c>
    </row>
    <row r="17" spans="1:7" x14ac:dyDescent="0.2">
      <c r="A17" s="10">
        <v>16</v>
      </c>
      <c r="B17" s="2" t="s">
        <v>167</v>
      </c>
      <c r="C17" s="10">
        <v>1</v>
      </c>
      <c r="D17" s="10">
        <v>2</v>
      </c>
      <c r="E17" s="2" t="s">
        <v>147</v>
      </c>
      <c r="F17" s="23" t="s">
        <v>149</v>
      </c>
      <c r="G17" s="2" t="s">
        <v>169</v>
      </c>
    </row>
    <row r="18" spans="1:7" x14ac:dyDescent="0.2">
      <c r="A18" s="10">
        <v>17</v>
      </c>
      <c r="B18" s="2" t="s">
        <v>167</v>
      </c>
      <c r="C18" s="10">
        <v>1</v>
      </c>
      <c r="D18" s="10">
        <v>3</v>
      </c>
      <c r="E18" s="2" t="s">
        <v>56</v>
      </c>
      <c r="F18" s="23" t="s">
        <v>59</v>
      </c>
      <c r="G18" s="2" t="s">
        <v>169</v>
      </c>
    </row>
    <row r="19" spans="1:7" x14ac:dyDescent="0.2">
      <c r="A19" s="10">
        <v>18</v>
      </c>
      <c r="B19" s="2" t="s">
        <v>167</v>
      </c>
      <c r="C19" s="10">
        <v>1</v>
      </c>
      <c r="D19" s="10">
        <v>3</v>
      </c>
      <c r="E19" s="2" t="s">
        <v>69</v>
      </c>
      <c r="F19" s="23" t="s">
        <v>72</v>
      </c>
      <c r="G19" s="2" t="s">
        <v>169</v>
      </c>
    </row>
    <row r="20" spans="1:7" x14ac:dyDescent="0.2">
      <c r="A20" s="10">
        <v>19</v>
      </c>
      <c r="B20" s="2" t="s">
        <v>167</v>
      </c>
      <c r="C20" s="10">
        <v>1</v>
      </c>
      <c r="D20" s="10">
        <v>3</v>
      </c>
      <c r="E20" s="2" t="s">
        <v>82</v>
      </c>
      <c r="F20" s="23" t="s">
        <v>85</v>
      </c>
      <c r="G20" s="2" t="s">
        <v>169</v>
      </c>
    </row>
    <row r="21" spans="1:7" x14ac:dyDescent="0.2">
      <c r="A21" s="10">
        <v>20</v>
      </c>
      <c r="B21" s="2" t="s">
        <v>167</v>
      </c>
      <c r="C21" s="10">
        <v>1</v>
      </c>
      <c r="D21" s="10">
        <v>3</v>
      </c>
      <c r="E21" s="2" t="s">
        <v>95</v>
      </c>
      <c r="F21" s="23" t="s">
        <v>98</v>
      </c>
      <c r="G21" s="2" t="s">
        <v>169</v>
      </c>
    </row>
    <row r="22" spans="1:7" x14ac:dyDescent="0.2">
      <c r="A22" s="10">
        <v>21</v>
      </c>
      <c r="B22" s="2" t="s">
        <v>167</v>
      </c>
      <c r="C22" s="10">
        <v>1</v>
      </c>
      <c r="D22" s="10">
        <v>3</v>
      </c>
      <c r="E22" s="2" t="s">
        <v>108</v>
      </c>
      <c r="F22" s="23" t="s">
        <v>111</v>
      </c>
      <c r="G22" s="2" t="s">
        <v>169</v>
      </c>
    </row>
    <row r="23" spans="1:7" x14ac:dyDescent="0.2">
      <c r="A23" s="10">
        <v>22</v>
      </c>
      <c r="B23" s="2" t="s">
        <v>167</v>
      </c>
      <c r="C23" s="10">
        <v>1</v>
      </c>
      <c r="D23" s="10">
        <v>3</v>
      </c>
      <c r="E23" s="2" t="s">
        <v>121</v>
      </c>
      <c r="F23" s="23" t="s">
        <v>124</v>
      </c>
      <c r="G23" s="2" t="s">
        <v>169</v>
      </c>
    </row>
    <row r="24" spans="1:7" x14ac:dyDescent="0.2">
      <c r="A24" s="10">
        <v>23</v>
      </c>
      <c r="B24" s="2" t="s">
        <v>167</v>
      </c>
      <c r="C24" s="10">
        <v>1</v>
      </c>
      <c r="D24" s="10">
        <v>3</v>
      </c>
      <c r="E24" s="2" t="s">
        <v>134</v>
      </c>
      <c r="F24" s="23" t="s">
        <v>137</v>
      </c>
      <c r="G24" s="2" t="s">
        <v>169</v>
      </c>
    </row>
    <row r="25" spans="1:7" x14ac:dyDescent="0.2">
      <c r="A25" s="10">
        <v>24</v>
      </c>
      <c r="B25" s="2" t="s">
        <v>167</v>
      </c>
      <c r="C25" s="10">
        <v>1</v>
      </c>
      <c r="D25" s="10">
        <v>3</v>
      </c>
      <c r="E25" s="2" t="s">
        <v>147</v>
      </c>
      <c r="F25" s="23" t="s">
        <v>150</v>
      </c>
      <c r="G25" s="2" t="s">
        <v>169</v>
      </c>
    </row>
    <row r="26" spans="1:7" x14ac:dyDescent="0.2">
      <c r="A26" s="10">
        <v>25</v>
      </c>
      <c r="B26" s="2" t="s">
        <v>167</v>
      </c>
      <c r="C26" s="10">
        <v>1</v>
      </c>
      <c r="D26" s="10">
        <v>4</v>
      </c>
      <c r="E26" s="2" t="s">
        <v>56</v>
      </c>
      <c r="F26" s="23" t="s">
        <v>60</v>
      </c>
      <c r="G26" s="2" t="s">
        <v>169</v>
      </c>
    </row>
    <row r="27" spans="1:7" x14ac:dyDescent="0.2">
      <c r="A27" s="10">
        <v>26</v>
      </c>
      <c r="B27" s="2" t="s">
        <v>167</v>
      </c>
      <c r="C27" s="10">
        <v>1</v>
      </c>
      <c r="D27" s="10">
        <v>4</v>
      </c>
      <c r="E27" s="2" t="s">
        <v>69</v>
      </c>
      <c r="F27" s="23" t="s">
        <v>73</v>
      </c>
      <c r="G27" s="2" t="s">
        <v>169</v>
      </c>
    </row>
    <row r="28" spans="1:7" x14ac:dyDescent="0.2">
      <c r="A28" s="10">
        <v>27</v>
      </c>
      <c r="B28" s="2" t="s">
        <v>167</v>
      </c>
      <c r="C28" s="10">
        <v>1</v>
      </c>
      <c r="D28" s="10">
        <v>4</v>
      </c>
      <c r="E28" s="2" t="s">
        <v>82</v>
      </c>
      <c r="F28" s="23" t="s">
        <v>86</v>
      </c>
      <c r="G28" s="2" t="s">
        <v>169</v>
      </c>
    </row>
    <row r="29" spans="1:7" x14ac:dyDescent="0.2">
      <c r="A29" s="10">
        <v>28</v>
      </c>
      <c r="B29" s="2" t="s">
        <v>167</v>
      </c>
      <c r="C29" s="10">
        <v>1</v>
      </c>
      <c r="D29" s="10">
        <v>4</v>
      </c>
      <c r="E29" s="2" t="s">
        <v>95</v>
      </c>
      <c r="F29" s="23" t="s">
        <v>99</v>
      </c>
      <c r="G29" s="2" t="s">
        <v>169</v>
      </c>
    </row>
    <row r="30" spans="1:7" x14ac:dyDescent="0.2">
      <c r="A30" s="10">
        <v>29</v>
      </c>
      <c r="B30" s="2" t="s">
        <v>167</v>
      </c>
      <c r="C30" s="10">
        <v>1</v>
      </c>
      <c r="D30" s="10">
        <v>4</v>
      </c>
      <c r="E30" s="2" t="s">
        <v>108</v>
      </c>
      <c r="F30" s="23" t="s">
        <v>112</v>
      </c>
      <c r="G30" s="2" t="s">
        <v>169</v>
      </c>
    </row>
    <row r="31" spans="1:7" x14ac:dyDescent="0.2">
      <c r="A31" s="10">
        <v>30</v>
      </c>
      <c r="B31" s="2" t="s">
        <v>167</v>
      </c>
      <c r="C31" s="10">
        <v>1</v>
      </c>
      <c r="D31" s="10">
        <v>4</v>
      </c>
      <c r="E31" s="2" t="s">
        <v>121</v>
      </c>
      <c r="F31" s="23" t="s">
        <v>125</v>
      </c>
      <c r="G31" s="2" t="s">
        <v>169</v>
      </c>
    </row>
    <row r="32" spans="1:7" x14ac:dyDescent="0.2">
      <c r="A32" s="10">
        <v>31</v>
      </c>
      <c r="B32" s="2" t="s">
        <v>167</v>
      </c>
      <c r="C32" s="10">
        <v>1</v>
      </c>
      <c r="D32" s="10">
        <v>4</v>
      </c>
      <c r="E32" s="2" t="s">
        <v>134</v>
      </c>
      <c r="F32" s="23" t="s">
        <v>138</v>
      </c>
      <c r="G32" s="2" t="s">
        <v>169</v>
      </c>
    </row>
    <row r="33" spans="1:7" x14ac:dyDescent="0.2">
      <c r="A33" s="10">
        <v>32</v>
      </c>
      <c r="B33" s="2" t="s">
        <v>167</v>
      </c>
      <c r="C33" s="10">
        <v>1</v>
      </c>
      <c r="D33" s="10">
        <v>4</v>
      </c>
      <c r="E33" s="2" t="s">
        <v>147</v>
      </c>
      <c r="F33" s="23" t="s">
        <v>151</v>
      </c>
      <c r="G33" s="2" t="s">
        <v>169</v>
      </c>
    </row>
    <row r="34" spans="1:7" x14ac:dyDescent="0.2">
      <c r="A34" s="10">
        <v>33</v>
      </c>
      <c r="B34" s="2" t="s">
        <v>167</v>
      </c>
      <c r="C34" s="10">
        <v>1</v>
      </c>
      <c r="D34" s="10">
        <v>5</v>
      </c>
      <c r="E34" s="2" t="s">
        <v>56</v>
      </c>
      <c r="F34" s="23" t="s">
        <v>61</v>
      </c>
      <c r="G34" s="2" t="s">
        <v>169</v>
      </c>
    </row>
    <row r="35" spans="1:7" x14ac:dyDescent="0.2">
      <c r="A35" s="10">
        <v>34</v>
      </c>
      <c r="B35" s="2" t="s">
        <v>167</v>
      </c>
      <c r="C35" s="10">
        <v>1</v>
      </c>
      <c r="D35" s="10">
        <v>5</v>
      </c>
      <c r="E35" s="2" t="s">
        <v>69</v>
      </c>
      <c r="F35" s="23" t="s">
        <v>74</v>
      </c>
      <c r="G35" s="2" t="s">
        <v>169</v>
      </c>
    </row>
    <row r="36" spans="1:7" x14ac:dyDescent="0.2">
      <c r="A36" s="10">
        <v>35</v>
      </c>
      <c r="B36" s="2" t="s">
        <v>167</v>
      </c>
      <c r="C36" s="10">
        <v>1</v>
      </c>
      <c r="D36" s="10">
        <v>5</v>
      </c>
      <c r="E36" s="2" t="s">
        <v>82</v>
      </c>
      <c r="F36" s="23" t="s">
        <v>87</v>
      </c>
      <c r="G36" s="2" t="s">
        <v>169</v>
      </c>
    </row>
    <row r="37" spans="1:7" x14ac:dyDescent="0.2">
      <c r="A37" s="10">
        <v>36</v>
      </c>
      <c r="B37" s="2" t="s">
        <v>167</v>
      </c>
      <c r="C37" s="10">
        <v>1</v>
      </c>
      <c r="D37" s="10">
        <v>5</v>
      </c>
      <c r="E37" s="2" t="s">
        <v>95</v>
      </c>
      <c r="F37" s="23" t="s">
        <v>100</v>
      </c>
      <c r="G37" s="2" t="s">
        <v>169</v>
      </c>
    </row>
    <row r="38" spans="1:7" x14ac:dyDescent="0.2">
      <c r="A38" s="10">
        <v>37</v>
      </c>
      <c r="B38" s="2" t="s">
        <v>167</v>
      </c>
      <c r="C38" s="10">
        <v>1</v>
      </c>
      <c r="D38" s="10">
        <v>5</v>
      </c>
      <c r="E38" s="2" t="s">
        <v>108</v>
      </c>
      <c r="F38" s="23" t="s">
        <v>113</v>
      </c>
      <c r="G38" s="2" t="s">
        <v>169</v>
      </c>
    </row>
    <row r="39" spans="1:7" x14ac:dyDescent="0.2">
      <c r="A39" s="10">
        <v>38</v>
      </c>
      <c r="B39" s="2" t="s">
        <v>167</v>
      </c>
      <c r="C39" s="10">
        <v>1</v>
      </c>
      <c r="D39" s="10">
        <v>5</v>
      </c>
      <c r="E39" s="2" t="s">
        <v>121</v>
      </c>
      <c r="F39" s="23" t="s">
        <v>126</v>
      </c>
      <c r="G39" s="2" t="s">
        <v>169</v>
      </c>
    </row>
    <row r="40" spans="1:7" x14ac:dyDescent="0.2">
      <c r="A40" s="10">
        <v>39</v>
      </c>
      <c r="B40" s="2" t="s">
        <v>167</v>
      </c>
      <c r="C40" s="10">
        <v>1</v>
      </c>
      <c r="D40" s="10">
        <v>5</v>
      </c>
      <c r="E40" s="2" t="s">
        <v>134</v>
      </c>
      <c r="F40" s="23" t="s">
        <v>139</v>
      </c>
      <c r="G40" s="2" t="s">
        <v>169</v>
      </c>
    </row>
    <row r="41" spans="1:7" x14ac:dyDescent="0.2">
      <c r="A41" s="10">
        <v>40</v>
      </c>
      <c r="B41" s="2" t="s">
        <v>167</v>
      </c>
      <c r="C41" s="10">
        <v>1</v>
      </c>
      <c r="D41" s="10">
        <v>5</v>
      </c>
      <c r="E41" s="2" t="s">
        <v>147</v>
      </c>
      <c r="F41" s="23" t="s">
        <v>152</v>
      </c>
      <c r="G41" s="2" t="s">
        <v>169</v>
      </c>
    </row>
    <row r="42" spans="1:7" x14ac:dyDescent="0.2">
      <c r="A42" s="10">
        <v>41</v>
      </c>
      <c r="B42" s="2" t="s">
        <v>167</v>
      </c>
      <c r="C42" s="10">
        <v>1</v>
      </c>
      <c r="D42" s="10">
        <v>6</v>
      </c>
      <c r="E42" s="2" t="s">
        <v>56</v>
      </c>
      <c r="F42" s="23" t="s">
        <v>62</v>
      </c>
      <c r="G42" s="2" t="s">
        <v>169</v>
      </c>
    </row>
    <row r="43" spans="1:7" x14ac:dyDescent="0.2">
      <c r="A43" s="10">
        <v>42</v>
      </c>
      <c r="B43" s="2" t="s">
        <v>167</v>
      </c>
      <c r="C43" s="10">
        <v>1</v>
      </c>
      <c r="D43" s="10">
        <v>6</v>
      </c>
      <c r="E43" s="2" t="s">
        <v>69</v>
      </c>
      <c r="F43" s="23" t="s">
        <v>75</v>
      </c>
      <c r="G43" s="2" t="s">
        <v>169</v>
      </c>
    </row>
    <row r="44" spans="1:7" x14ac:dyDescent="0.2">
      <c r="A44" s="10">
        <v>43</v>
      </c>
      <c r="B44" s="2" t="s">
        <v>167</v>
      </c>
      <c r="C44" s="10">
        <v>1</v>
      </c>
      <c r="D44" s="10">
        <v>6</v>
      </c>
      <c r="E44" s="2" t="s">
        <v>82</v>
      </c>
      <c r="F44" s="23" t="s">
        <v>88</v>
      </c>
      <c r="G44" s="2" t="s">
        <v>169</v>
      </c>
    </row>
    <row r="45" spans="1:7" x14ac:dyDescent="0.2">
      <c r="A45" s="10">
        <v>44</v>
      </c>
      <c r="B45" s="2" t="s">
        <v>167</v>
      </c>
      <c r="C45" s="10">
        <v>1</v>
      </c>
      <c r="D45" s="10">
        <v>6</v>
      </c>
      <c r="E45" s="2" t="s">
        <v>95</v>
      </c>
      <c r="F45" s="23" t="s">
        <v>101</v>
      </c>
      <c r="G45" s="2" t="s">
        <v>169</v>
      </c>
    </row>
    <row r="46" spans="1:7" x14ac:dyDescent="0.2">
      <c r="A46" s="10">
        <v>45</v>
      </c>
      <c r="B46" s="2" t="s">
        <v>167</v>
      </c>
      <c r="C46" s="10">
        <v>1</v>
      </c>
      <c r="D46" s="10">
        <v>6</v>
      </c>
      <c r="E46" s="2" t="s">
        <v>108</v>
      </c>
      <c r="F46" s="23" t="s">
        <v>114</v>
      </c>
      <c r="G46" s="2" t="s">
        <v>169</v>
      </c>
    </row>
    <row r="47" spans="1:7" x14ac:dyDescent="0.2">
      <c r="A47" s="10">
        <v>46</v>
      </c>
      <c r="B47" s="2" t="s">
        <v>167</v>
      </c>
      <c r="C47" s="10">
        <v>1</v>
      </c>
      <c r="D47" s="10">
        <v>6</v>
      </c>
      <c r="E47" s="2" t="s">
        <v>121</v>
      </c>
      <c r="F47" s="23" t="s">
        <v>127</v>
      </c>
      <c r="G47" s="2" t="s">
        <v>169</v>
      </c>
    </row>
    <row r="48" spans="1:7" x14ac:dyDescent="0.2">
      <c r="A48" s="10">
        <v>47</v>
      </c>
      <c r="B48" s="2" t="s">
        <v>167</v>
      </c>
      <c r="C48" s="10">
        <v>1</v>
      </c>
      <c r="D48" s="10">
        <v>6</v>
      </c>
      <c r="E48" s="2" t="s">
        <v>134</v>
      </c>
      <c r="F48" s="23" t="s">
        <v>140</v>
      </c>
      <c r="G48" s="2" t="s">
        <v>169</v>
      </c>
    </row>
    <row r="49" spans="1:7" x14ac:dyDescent="0.2">
      <c r="A49" s="10">
        <v>48</v>
      </c>
      <c r="B49" s="2" t="s">
        <v>167</v>
      </c>
      <c r="C49" s="10">
        <v>1</v>
      </c>
      <c r="D49" s="10">
        <v>6</v>
      </c>
      <c r="E49" s="2" t="s">
        <v>147</v>
      </c>
      <c r="F49" s="23" t="s">
        <v>153</v>
      </c>
      <c r="G49" s="2" t="s">
        <v>169</v>
      </c>
    </row>
    <row r="50" spans="1:7" x14ac:dyDescent="0.2">
      <c r="A50" s="10">
        <v>49</v>
      </c>
      <c r="B50" s="2" t="s">
        <v>167</v>
      </c>
      <c r="C50" s="10">
        <v>1</v>
      </c>
      <c r="D50" s="10">
        <v>7</v>
      </c>
      <c r="E50" s="2" t="s">
        <v>56</v>
      </c>
      <c r="F50" s="23" t="s">
        <v>63</v>
      </c>
      <c r="G50" s="2" t="s">
        <v>169</v>
      </c>
    </row>
    <row r="51" spans="1:7" x14ac:dyDescent="0.2">
      <c r="A51" s="10">
        <v>50</v>
      </c>
      <c r="B51" s="2" t="s">
        <v>167</v>
      </c>
      <c r="C51" s="10">
        <v>1</v>
      </c>
      <c r="D51" s="10">
        <v>7</v>
      </c>
      <c r="E51" s="2" t="s">
        <v>69</v>
      </c>
      <c r="F51" s="23" t="s">
        <v>76</v>
      </c>
      <c r="G51" s="2" t="s">
        <v>169</v>
      </c>
    </row>
    <row r="52" spans="1:7" ht="16" x14ac:dyDescent="0.2">
      <c r="A52" s="10">
        <v>51</v>
      </c>
      <c r="B52" s="2" t="s">
        <v>167</v>
      </c>
      <c r="C52" s="10">
        <v>1</v>
      </c>
      <c r="D52" s="10">
        <v>7</v>
      </c>
      <c r="E52" s="2" t="s">
        <v>82</v>
      </c>
      <c r="F52" s="23" t="s">
        <v>89</v>
      </c>
      <c r="G52" s="2" t="s">
        <v>169</v>
      </c>
    </row>
    <row r="53" spans="1:7" ht="16" x14ac:dyDescent="0.2">
      <c r="A53" s="10">
        <v>52</v>
      </c>
      <c r="B53" s="2" t="s">
        <v>167</v>
      </c>
      <c r="C53" s="10">
        <v>1</v>
      </c>
      <c r="D53" s="10">
        <v>7</v>
      </c>
      <c r="E53" s="2" t="s">
        <v>95</v>
      </c>
      <c r="F53" s="23" t="s">
        <v>102</v>
      </c>
      <c r="G53" s="2" t="s">
        <v>169</v>
      </c>
    </row>
    <row r="54" spans="1:7" ht="16" x14ac:dyDescent="0.2">
      <c r="A54" s="10">
        <v>53</v>
      </c>
      <c r="B54" s="2" t="s">
        <v>167</v>
      </c>
      <c r="C54" s="10">
        <v>1</v>
      </c>
      <c r="D54" s="10">
        <v>7</v>
      </c>
      <c r="E54" s="2" t="s">
        <v>108</v>
      </c>
      <c r="F54" s="23" t="s">
        <v>115</v>
      </c>
      <c r="G54" s="2" t="s">
        <v>169</v>
      </c>
    </row>
    <row r="55" spans="1:7" ht="16" x14ac:dyDescent="0.2">
      <c r="A55" s="10">
        <v>54</v>
      </c>
      <c r="B55" s="2" t="s">
        <v>167</v>
      </c>
      <c r="C55" s="10">
        <v>1</v>
      </c>
      <c r="D55" s="10">
        <v>7</v>
      </c>
      <c r="E55" s="2" t="s">
        <v>121</v>
      </c>
      <c r="F55" s="23" t="s">
        <v>128</v>
      </c>
      <c r="G55" s="2" t="s">
        <v>169</v>
      </c>
    </row>
    <row r="56" spans="1:7" ht="16" x14ac:dyDescent="0.2">
      <c r="A56" s="10">
        <v>55</v>
      </c>
      <c r="B56" s="2" t="s">
        <v>167</v>
      </c>
      <c r="C56" s="10">
        <v>1</v>
      </c>
      <c r="D56" s="10">
        <v>7</v>
      </c>
      <c r="E56" s="2" t="s">
        <v>134</v>
      </c>
      <c r="F56" s="23" t="s">
        <v>141</v>
      </c>
      <c r="G56" s="2" t="s">
        <v>169</v>
      </c>
    </row>
    <row r="57" spans="1:7" ht="16" x14ac:dyDescent="0.2">
      <c r="A57" s="10">
        <v>56</v>
      </c>
      <c r="B57" s="2" t="s">
        <v>167</v>
      </c>
      <c r="C57" s="10">
        <v>1</v>
      </c>
      <c r="D57" s="10">
        <v>7</v>
      </c>
      <c r="E57" s="2" t="s">
        <v>147</v>
      </c>
      <c r="F57" s="23" t="s">
        <v>154</v>
      </c>
      <c r="G57" s="2" t="s">
        <v>169</v>
      </c>
    </row>
    <row r="58" spans="1:7" ht="16" x14ac:dyDescent="0.2">
      <c r="A58" s="10">
        <v>57</v>
      </c>
      <c r="B58" s="2" t="s">
        <v>167</v>
      </c>
      <c r="C58" s="10">
        <v>1</v>
      </c>
      <c r="D58" s="10">
        <v>8</v>
      </c>
      <c r="E58" s="2" t="s">
        <v>56</v>
      </c>
      <c r="F58" s="23" t="s">
        <v>64</v>
      </c>
      <c r="G58" s="2" t="s">
        <v>169</v>
      </c>
    </row>
    <row r="59" spans="1:7" ht="16" x14ac:dyDescent="0.2">
      <c r="A59" s="10">
        <v>58</v>
      </c>
      <c r="B59" s="2" t="s">
        <v>167</v>
      </c>
      <c r="C59" s="10">
        <v>1</v>
      </c>
      <c r="D59" s="10">
        <v>8</v>
      </c>
      <c r="E59" s="2" t="s">
        <v>69</v>
      </c>
      <c r="F59" s="23" t="s">
        <v>77</v>
      </c>
      <c r="G59" s="2" t="s">
        <v>169</v>
      </c>
    </row>
    <row r="60" spans="1:7" ht="16" x14ac:dyDescent="0.2">
      <c r="A60" s="10">
        <v>59</v>
      </c>
      <c r="B60" s="2" t="s">
        <v>167</v>
      </c>
      <c r="C60" s="10">
        <v>1</v>
      </c>
      <c r="D60" s="10">
        <v>8</v>
      </c>
      <c r="E60" s="2" t="s">
        <v>82</v>
      </c>
      <c r="F60" s="23" t="s">
        <v>90</v>
      </c>
      <c r="G60" s="2" t="s">
        <v>169</v>
      </c>
    </row>
    <row r="61" spans="1:7" ht="16" x14ac:dyDescent="0.2">
      <c r="A61" s="10">
        <v>60</v>
      </c>
      <c r="B61" s="2" t="s">
        <v>167</v>
      </c>
      <c r="C61" s="10">
        <v>1</v>
      </c>
      <c r="D61" s="10">
        <v>8</v>
      </c>
      <c r="E61" s="2" t="s">
        <v>95</v>
      </c>
      <c r="F61" s="23" t="s">
        <v>103</v>
      </c>
      <c r="G61" s="2" t="s">
        <v>169</v>
      </c>
    </row>
    <row r="62" spans="1:7" ht="16" x14ac:dyDescent="0.2">
      <c r="A62" s="10">
        <v>61</v>
      </c>
      <c r="B62" s="2" t="s">
        <v>167</v>
      </c>
      <c r="C62" s="10">
        <v>1</v>
      </c>
      <c r="D62" s="10">
        <v>8</v>
      </c>
      <c r="E62" s="2" t="s">
        <v>108</v>
      </c>
      <c r="F62" s="23" t="s">
        <v>116</v>
      </c>
      <c r="G62" s="2" t="s">
        <v>169</v>
      </c>
    </row>
    <row r="63" spans="1:7" ht="16" x14ac:dyDescent="0.2">
      <c r="A63" s="10">
        <v>62</v>
      </c>
      <c r="B63" s="2" t="s">
        <v>167</v>
      </c>
      <c r="C63" s="10">
        <v>1</v>
      </c>
      <c r="D63" s="10">
        <v>8</v>
      </c>
      <c r="E63" s="2" t="s">
        <v>121</v>
      </c>
      <c r="F63" s="23" t="s">
        <v>129</v>
      </c>
      <c r="G63" s="2" t="s">
        <v>169</v>
      </c>
    </row>
    <row r="64" spans="1:7" ht="16" x14ac:dyDescent="0.2">
      <c r="A64" s="10">
        <v>63</v>
      </c>
      <c r="B64" s="2" t="s">
        <v>167</v>
      </c>
      <c r="C64" s="10">
        <v>1</v>
      </c>
      <c r="D64" s="10">
        <v>8</v>
      </c>
      <c r="E64" s="2" t="s">
        <v>134</v>
      </c>
      <c r="F64" s="23" t="s">
        <v>142</v>
      </c>
      <c r="G64" s="2" t="s">
        <v>169</v>
      </c>
    </row>
    <row r="65" spans="1:7" ht="16" x14ac:dyDescent="0.2">
      <c r="A65" s="10">
        <v>64</v>
      </c>
      <c r="B65" s="2" t="s">
        <v>167</v>
      </c>
      <c r="C65" s="10">
        <v>1</v>
      </c>
      <c r="D65" s="10">
        <v>8</v>
      </c>
      <c r="E65" s="2" t="s">
        <v>147</v>
      </c>
      <c r="F65" s="23" t="s">
        <v>155</v>
      </c>
      <c r="G65" s="2" t="s">
        <v>169</v>
      </c>
    </row>
    <row r="66" spans="1:7" ht="16" x14ac:dyDescent="0.2">
      <c r="A66" s="10">
        <v>65</v>
      </c>
      <c r="B66" s="2" t="s">
        <v>167</v>
      </c>
      <c r="C66" s="10">
        <v>1</v>
      </c>
      <c r="D66" s="10">
        <v>9</v>
      </c>
      <c r="E66" s="2" t="s">
        <v>56</v>
      </c>
      <c r="F66" s="23" t="s">
        <v>65</v>
      </c>
      <c r="G66" s="2" t="s">
        <v>169</v>
      </c>
    </row>
    <row r="67" spans="1:7" ht="16" x14ac:dyDescent="0.2">
      <c r="A67" s="10">
        <v>66</v>
      </c>
      <c r="B67" s="2" t="s">
        <v>167</v>
      </c>
      <c r="C67" s="10">
        <v>1</v>
      </c>
      <c r="D67" s="10">
        <v>9</v>
      </c>
      <c r="E67" s="2" t="s">
        <v>69</v>
      </c>
      <c r="F67" s="23" t="s">
        <v>78</v>
      </c>
      <c r="G67" s="2" t="s">
        <v>169</v>
      </c>
    </row>
    <row r="68" spans="1:7" ht="16" x14ac:dyDescent="0.2">
      <c r="A68" s="10">
        <v>67</v>
      </c>
      <c r="B68" s="2" t="s">
        <v>167</v>
      </c>
      <c r="C68" s="10">
        <v>1</v>
      </c>
      <c r="D68" s="10">
        <v>9</v>
      </c>
      <c r="E68" s="2" t="s">
        <v>82</v>
      </c>
      <c r="F68" s="23" t="s">
        <v>91</v>
      </c>
      <c r="G68" s="2" t="s">
        <v>169</v>
      </c>
    </row>
    <row r="69" spans="1:7" ht="16" x14ac:dyDescent="0.2">
      <c r="A69" s="10">
        <v>68</v>
      </c>
      <c r="B69" s="2" t="s">
        <v>167</v>
      </c>
      <c r="C69" s="10">
        <v>1</v>
      </c>
      <c r="D69" s="10">
        <v>9</v>
      </c>
      <c r="E69" s="2" t="s">
        <v>95</v>
      </c>
      <c r="F69" s="23" t="s">
        <v>104</v>
      </c>
      <c r="G69" s="2" t="s">
        <v>169</v>
      </c>
    </row>
    <row r="70" spans="1:7" ht="16" x14ac:dyDescent="0.2">
      <c r="A70" s="10">
        <v>69</v>
      </c>
      <c r="B70" s="2" t="s">
        <v>167</v>
      </c>
      <c r="C70" s="10">
        <v>1</v>
      </c>
      <c r="D70" s="10">
        <v>9</v>
      </c>
      <c r="E70" s="2" t="s">
        <v>108</v>
      </c>
      <c r="F70" s="23" t="s">
        <v>117</v>
      </c>
      <c r="G70" s="2" t="s">
        <v>169</v>
      </c>
    </row>
    <row r="71" spans="1:7" ht="16" x14ac:dyDescent="0.2">
      <c r="A71" s="10">
        <v>70</v>
      </c>
      <c r="B71" s="2" t="s">
        <v>167</v>
      </c>
      <c r="C71" s="10">
        <v>1</v>
      </c>
      <c r="D71" s="10">
        <v>9</v>
      </c>
      <c r="E71" s="2" t="s">
        <v>121</v>
      </c>
      <c r="F71" s="23" t="s">
        <v>130</v>
      </c>
      <c r="G71" s="2" t="s">
        <v>169</v>
      </c>
    </row>
    <row r="72" spans="1:7" ht="16" x14ac:dyDescent="0.2">
      <c r="A72" s="10">
        <v>71</v>
      </c>
      <c r="B72" s="2" t="s">
        <v>167</v>
      </c>
      <c r="C72" s="10">
        <v>1</v>
      </c>
      <c r="D72" s="10">
        <v>9</v>
      </c>
      <c r="E72" s="2" t="s">
        <v>134</v>
      </c>
      <c r="F72" s="23" t="s">
        <v>143</v>
      </c>
      <c r="G72" s="2" t="s">
        <v>169</v>
      </c>
    </row>
    <row r="73" spans="1:7" ht="16" x14ac:dyDescent="0.2">
      <c r="A73" s="10">
        <v>72</v>
      </c>
      <c r="B73" s="2" t="s">
        <v>167</v>
      </c>
      <c r="C73" s="10">
        <v>1</v>
      </c>
      <c r="D73" s="10">
        <v>9</v>
      </c>
      <c r="E73" s="2" t="s">
        <v>147</v>
      </c>
      <c r="F73" s="23" t="s">
        <v>156</v>
      </c>
      <c r="G73" s="2" t="s">
        <v>169</v>
      </c>
    </row>
    <row r="74" spans="1:7" ht="16" x14ac:dyDescent="0.2">
      <c r="A74" s="10">
        <v>73</v>
      </c>
      <c r="B74" s="2" t="s">
        <v>167</v>
      </c>
      <c r="C74" s="10">
        <v>1</v>
      </c>
      <c r="D74" s="10">
        <v>10</v>
      </c>
      <c r="E74" s="2" t="s">
        <v>56</v>
      </c>
      <c r="F74" s="23" t="s">
        <v>66</v>
      </c>
      <c r="G74" s="2" t="s">
        <v>169</v>
      </c>
    </row>
    <row r="75" spans="1:7" ht="16" x14ac:dyDescent="0.2">
      <c r="A75" s="10">
        <v>74</v>
      </c>
      <c r="B75" s="2" t="s">
        <v>167</v>
      </c>
      <c r="C75" s="10">
        <v>1</v>
      </c>
      <c r="D75" s="10">
        <v>10</v>
      </c>
      <c r="E75" s="2" t="s">
        <v>69</v>
      </c>
      <c r="F75" s="23" t="s">
        <v>79</v>
      </c>
      <c r="G75" s="2" t="s">
        <v>169</v>
      </c>
    </row>
    <row r="76" spans="1:7" ht="16" x14ac:dyDescent="0.2">
      <c r="A76" s="10">
        <v>75</v>
      </c>
      <c r="B76" s="2" t="s">
        <v>167</v>
      </c>
      <c r="C76" s="10">
        <v>1</v>
      </c>
      <c r="D76" s="10">
        <v>10</v>
      </c>
      <c r="E76" s="2" t="s">
        <v>82</v>
      </c>
      <c r="F76" s="23" t="s">
        <v>92</v>
      </c>
      <c r="G76" s="2" t="s">
        <v>169</v>
      </c>
    </row>
    <row r="77" spans="1:7" ht="16" x14ac:dyDescent="0.2">
      <c r="A77" s="10">
        <v>76</v>
      </c>
      <c r="B77" s="2" t="s">
        <v>167</v>
      </c>
      <c r="C77" s="10">
        <v>1</v>
      </c>
      <c r="D77" s="10">
        <v>10</v>
      </c>
      <c r="E77" s="2" t="s">
        <v>95</v>
      </c>
      <c r="F77" s="23" t="s">
        <v>105</v>
      </c>
      <c r="G77" s="2" t="s">
        <v>169</v>
      </c>
    </row>
    <row r="78" spans="1:7" ht="16" x14ac:dyDescent="0.2">
      <c r="A78" s="10">
        <v>77</v>
      </c>
      <c r="B78" s="2" t="s">
        <v>167</v>
      </c>
      <c r="C78" s="10">
        <v>1</v>
      </c>
      <c r="D78" s="10">
        <v>10</v>
      </c>
      <c r="E78" s="2" t="s">
        <v>108</v>
      </c>
      <c r="F78" s="23" t="s">
        <v>118</v>
      </c>
      <c r="G78" s="2" t="s">
        <v>169</v>
      </c>
    </row>
    <row r="79" spans="1:7" ht="16" x14ac:dyDescent="0.2">
      <c r="A79" s="10">
        <v>78</v>
      </c>
      <c r="B79" s="2" t="s">
        <v>167</v>
      </c>
      <c r="C79" s="10">
        <v>1</v>
      </c>
      <c r="D79" s="10">
        <v>10</v>
      </c>
      <c r="E79" s="2" t="s">
        <v>121</v>
      </c>
      <c r="F79" s="23" t="s">
        <v>131</v>
      </c>
      <c r="G79" s="2" t="s">
        <v>169</v>
      </c>
    </row>
    <row r="80" spans="1:7" ht="16" x14ac:dyDescent="0.2">
      <c r="A80" s="10">
        <v>79</v>
      </c>
      <c r="B80" s="2" t="s">
        <v>167</v>
      </c>
      <c r="C80" s="10">
        <v>1</v>
      </c>
      <c r="D80" s="10">
        <v>10</v>
      </c>
      <c r="E80" s="2" t="s">
        <v>134</v>
      </c>
      <c r="F80" s="23" t="s">
        <v>144</v>
      </c>
      <c r="G80" s="2" t="s">
        <v>169</v>
      </c>
    </row>
    <row r="81" spans="1:7" ht="16" x14ac:dyDescent="0.2">
      <c r="A81" s="10">
        <v>80</v>
      </c>
      <c r="B81" s="2" t="s">
        <v>167</v>
      </c>
      <c r="C81" s="10">
        <v>1</v>
      </c>
      <c r="D81" s="10">
        <v>10</v>
      </c>
      <c r="E81" s="2" t="s">
        <v>147</v>
      </c>
      <c r="F81" s="23" t="s">
        <v>157</v>
      </c>
      <c r="G81" s="2" t="s">
        <v>169</v>
      </c>
    </row>
    <row r="82" spans="1:7" ht="16" x14ac:dyDescent="0.2">
      <c r="A82" s="10">
        <v>81</v>
      </c>
      <c r="B82" s="2" t="s">
        <v>167</v>
      </c>
      <c r="C82" s="10">
        <v>1</v>
      </c>
      <c r="D82" s="10">
        <v>11</v>
      </c>
      <c r="E82" s="2" t="s">
        <v>56</v>
      </c>
      <c r="F82" s="23" t="s">
        <v>67</v>
      </c>
      <c r="G82" s="2" t="s">
        <v>169</v>
      </c>
    </row>
    <row r="83" spans="1:7" ht="16" x14ac:dyDescent="0.2">
      <c r="A83" s="10">
        <v>82</v>
      </c>
      <c r="B83" s="2" t="s">
        <v>167</v>
      </c>
      <c r="C83" s="10">
        <v>1</v>
      </c>
      <c r="D83" s="10">
        <v>11</v>
      </c>
      <c r="E83" s="2" t="s">
        <v>69</v>
      </c>
      <c r="F83" s="23" t="s">
        <v>80</v>
      </c>
      <c r="G83" s="2" t="s">
        <v>169</v>
      </c>
    </row>
    <row r="84" spans="1:7" ht="16" x14ac:dyDescent="0.2">
      <c r="A84" s="10">
        <v>83</v>
      </c>
      <c r="B84" s="2" t="s">
        <v>167</v>
      </c>
      <c r="C84" s="10">
        <v>1</v>
      </c>
      <c r="D84" s="10">
        <v>11</v>
      </c>
      <c r="E84" s="2" t="s">
        <v>82</v>
      </c>
      <c r="F84" s="23" t="s">
        <v>93</v>
      </c>
      <c r="G84" s="2" t="s">
        <v>169</v>
      </c>
    </row>
    <row r="85" spans="1:7" ht="16" x14ac:dyDescent="0.2">
      <c r="A85" s="10">
        <v>84</v>
      </c>
      <c r="B85" s="2" t="s">
        <v>167</v>
      </c>
      <c r="C85" s="10">
        <v>1</v>
      </c>
      <c r="D85" s="10">
        <v>11</v>
      </c>
      <c r="E85" s="2" t="s">
        <v>95</v>
      </c>
      <c r="F85" s="23" t="s">
        <v>106</v>
      </c>
      <c r="G85" s="2" t="s">
        <v>169</v>
      </c>
    </row>
    <row r="86" spans="1:7" ht="16" x14ac:dyDescent="0.2">
      <c r="A86" s="10">
        <v>85</v>
      </c>
      <c r="B86" s="2" t="s">
        <v>167</v>
      </c>
      <c r="C86" s="10">
        <v>1</v>
      </c>
      <c r="D86" s="10">
        <v>11</v>
      </c>
      <c r="E86" s="2" t="s">
        <v>108</v>
      </c>
      <c r="F86" s="23" t="s">
        <v>119</v>
      </c>
      <c r="G86" s="2" t="s">
        <v>169</v>
      </c>
    </row>
    <row r="87" spans="1:7" ht="16" x14ac:dyDescent="0.2">
      <c r="A87" s="10">
        <v>86</v>
      </c>
      <c r="B87" s="2" t="s">
        <v>167</v>
      </c>
      <c r="C87" s="10">
        <v>1</v>
      </c>
      <c r="D87" s="10">
        <v>11</v>
      </c>
      <c r="E87" s="2" t="s">
        <v>121</v>
      </c>
      <c r="F87" s="23" t="s">
        <v>132</v>
      </c>
      <c r="G87" s="2" t="s">
        <v>169</v>
      </c>
    </row>
    <row r="88" spans="1:7" ht="16" x14ac:dyDescent="0.2">
      <c r="A88" s="10">
        <v>87</v>
      </c>
      <c r="B88" s="2" t="s">
        <v>167</v>
      </c>
      <c r="C88" s="10">
        <v>1</v>
      </c>
      <c r="D88" s="10">
        <v>11</v>
      </c>
      <c r="E88" s="2" t="s">
        <v>134</v>
      </c>
      <c r="F88" s="23" t="s">
        <v>145</v>
      </c>
      <c r="G88" s="2" t="s">
        <v>169</v>
      </c>
    </row>
    <row r="89" spans="1:7" ht="16" x14ac:dyDescent="0.2">
      <c r="A89" s="10">
        <v>88</v>
      </c>
      <c r="B89" s="2" t="s">
        <v>167</v>
      </c>
      <c r="C89" s="10">
        <v>1</v>
      </c>
      <c r="D89" s="10">
        <v>11</v>
      </c>
      <c r="E89" s="2" t="s">
        <v>147</v>
      </c>
      <c r="F89" s="23" t="s">
        <v>158</v>
      </c>
      <c r="G89" s="2" t="s">
        <v>169</v>
      </c>
    </row>
    <row r="90" spans="1:7" ht="16" x14ac:dyDescent="0.2">
      <c r="A90" s="10">
        <v>89</v>
      </c>
      <c r="B90" s="2" t="s">
        <v>167</v>
      </c>
      <c r="C90" s="10">
        <v>1</v>
      </c>
      <c r="D90" s="10">
        <v>12</v>
      </c>
      <c r="E90" s="2" t="s">
        <v>56</v>
      </c>
      <c r="F90" s="23" t="s">
        <v>68</v>
      </c>
      <c r="G90" s="2" t="s">
        <v>169</v>
      </c>
    </row>
    <row r="91" spans="1:7" ht="16" x14ac:dyDescent="0.2">
      <c r="A91" s="10">
        <v>90</v>
      </c>
      <c r="B91" s="2" t="s">
        <v>167</v>
      </c>
      <c r="C91" s="10">
        <v>1</v>
      </c>
      <c r="D91" s="10">
        <v>12</v>
      </c>
      <c r="E91" s="2" t="s">
        <v>69</v>
      </c>
      <c r="F91" s="23" t="s">
        <v>81</v>
      </c>
      <c r="G91" s="2" t="s">
        <v>169</v>
      </c>
    </row>
    <row r="92" spans="1:7" ht="16" x14ac:dyDescent="0.2">
      <c r="A92" s="10">
        <v>91</v>
      </c>
      <c r="B92" s="2" t="s">
        <v>167</v>
      </c>
      <c r="C92" s="10">
        <v>1</v>
      </c>
      <c r="D92" s="10">
        <v>12</v>
      </c>
      <c r="E92" s="2" t="s">
        <v>82</v>
      </c>
      <c r="F92" s="23" t="s">
        <v>94</v>
      </c>
      <c r="G92" s="2" t="s">
        <v>169</v>
      </c>
    </row>
    <row r="93" spans="1:7" ht="16" x14ac:dyDescent="0.2">
      <c r="A93" s="10">
        <v>92</v>
      </c>
      <c r="B93" s="2" t="s">
        <v>167</v>
      </c>
      <c r="C93" s="10">
        <v>1</v>
      </c>
      <c r="D93" s="10">
        <v>12</v>
      </c>
      <c r="E93" s="2" t="s">
        <v>95</v>
      </c>
      <c r="F93" s="23" t="s">
        <v>107</v>
      </c>
      <c r="G93" s="2" t="s">
        <v>169</v>
      </c>
    </row>
    <row r="94" spans="1:7" ht="16" x14ac:dyDescent="0.2">
      <c r="A94" s="10">
        <v>93</v>
      </c>
      <c r="B94" s="2" t="s">
        <v>167</v>
      </c>
      <c r="C94" s="10">
        <v>1</v>
      </c>
      <c r="D94" s="10">
        <v>12</v>
      </c>
      <c r="E94" s="2" t="s">
        <v>108</v>
      </c>
      <c r="F94" s="23" t="s">
        <v>120</v>
      </c>
      <c r="G94" s="2" t="s">
        <v>169</v>
      </c>
    </row>
    <row r="95" spans="1:7" ht="16" x14ac:dyDescent="0.2">
      <c r="A95" s="10">
        <v>94</v>
      </c>
      <c r="B95" s="2" t="s">
        <v>167</v>
      </c>
      <c r="C95" s="10">
        <v>1</v>
      </c>
      <c r="D95" s="10">
        <v>12</v>
      </c>
      <c r="E95" s="2" t="s">
        <v>121</v>
      </c>
      <c r="F95" s="23" t="s">
        <v>133</v>
      </c>
      <c r="G95" s="2" t="s">
        <v>169</v>
      </c>
    </row>
    <row r="96" spans="1:7" ht="16" x14ac:dyDescent="0.2">
      <c r="A96" s="10">
        <v>95</v>
      </c>
      <c r="B96" s="2" t="s">
        <v>167</v>
      </c>
      <c r="C96" s="10">
        <v>1</v>
      </c>
      <c r="D96" s="10">
        <v>12</v>
      </c>
      <c r="E96" s="2" t="s">
        <v>134</v>
      </c>
      <c r="F96" s="24" t="s">
        <v>146</v>
      </c>
      <c r="G96" s="2" t="s">
        <v>169</v>
      </c>
    </row>
    <row r="97" spans="1:7" ht="16" x14ac:dyDescent="0.2">
      <c r="A97" s="10">
        <v>96</v>
      </c>
      <c r="B97" s="2" t="s">
        <v>167</v>
      </c>
      <c r="C97" s="10">
        <v>1</v>
      </c>
      <c r="D97" s="10">
        <v>12</v>
      </c>
      <c r="E97" s="2" t="s">
        <v>147</v>
      </c>
      <c r="F97" s="25" t="s">
        <v>159</v>
      </c>
      <c r="G97" s="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PCR Set Up</vt:lpstr>
      <vt:lpstr>Template Plate Layout</vt:lpstr>
      <vt:lpstr>Sample Data Sheet 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Gold</cp:lastModifiedBy>
  <dcterms:created xsi:type="dcterms:W3CDTF">2026-05-08T00:30:38Z</dcterms:created>
  <dcterms:modified xsi:type="dcterms:W3CDTF">2026-05-08T00:31:13Z</dcterms:modified>
</cp:coreProperties>
</file>